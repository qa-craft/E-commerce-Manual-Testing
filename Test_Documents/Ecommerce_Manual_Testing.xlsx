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d1d3b049a1073c/Desktop/"/>
    </mc:Choice>
  </mc:AlternateContent>
  <xr:revisionPtr revIDLastSave="776" documentId="8_{42937E87-0F5C-4AEB-83DA-A8034092B4CB}" xr6:coauthVersionLast="47" xr6:coauthVersionMax="47" xr10:uidLastSave="{6AAC6808-4530-484F-B523-75AC885F54EB}"/>
  <bookViews>
    <workbookView xWindow="-108" yWindow="-108" windowWidth="23256" windowHeight="12456" activeTab="3" xr2:uid="{E24F3ED3-7C24-49F0-946E-A1ABB5681D02}"/>
  </bookViews>
  <sheets>
    <sheet name="Requirements" sheetId="1" r:id="rId1"/>
    <sheet name="Test_Plan" sheetId="2" r:id="rId2"/>
    <sheet name="Test_Scenarios" sheetId="3" r:id="rId3"/>
    <sheet name="Test_Cases" sheetId="4" r:id="rId4"/>
    <sheet name="Test_Execution" sheetId="5" r:id="rId5"/>
    <sheet name="Bug_Report_Log" sheetId="6" r:id="rId6"/>
    <sheet name="RTM" sheetId="7" r:id="rId7"/>
  </sheets>
  <definedNames>
    <definedName name="_xlnm._FilterDatabase" localSheetId="5" hidden="1">Bug_Report_Log!$F$1:$H$3</definedName>
    <definedName name="_xlnm._FilterDatabase" localSheetId="6" hidden="1">RTM!$F$1:$F$23</definedName>
    <definedName name="_xlnm._FilterDatabase" localSheetId="3" hidden="1">Test_Cases!$L$1:$L$31</definedName>
    <definedName name="_xlnm._FilterDatabase" localSheetId="4" hidden="1">Test_Execution!$F$8:$F$28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6" i="5"/>
  <c r="E5" i="5"/>
  <c r="E4" i="5"/>
  <c r="E3" i="5"/>
</calcChain>
</file>

<file path=xl/sharedStrings.xml><?xml version="1.0" encoding="utf-8"?>
<sst xmlns="http://schemas.openxmlformats.org/spreadsheetml/2006/main" count="532" uniqueCount="235">
  <si>
    <t>Requirement ID</t>
  </si>
  <si>
    <t>Module</t>
  </si>
  <si>
    <t>Requirement Description</t>
  </si>
  <si>
    <t>Priority</t>
  </si>
  <si>
    <t>REQ_LOGIN_001</t>
  </si>
  <si>
    <t>Login</t>
  </si>
  <si>
    <t>User should be able to open the login page</t>
  </si>
  <si>
    <t>High</t>
  </si>
  <si>
    <t>REQ_LOGIN_002</t>
  </si>
  <si>
    <t>User should login with valid email and password</t>
  </si>
  <si>
    <t>REQ_LOGIN_003</t>
  </si>
  <si>
    <t>System should display error message for invalid credentials</t>
  </si>
  <si>
    <t>REQ_LOGIN_004</t>
  </si>
  <si>
    <t>System should validate empty login fields</t>
  </si>
  <si>
    <t>REQ_PRODUCT_001</t>
  </si>
  <si>
    <t>Product</t>
  </si>
  <si>
    <t>User should search products using search bar</t>
  </si>
  <si>
    <t>REQ_PRODUCT_002</t>
  </si>
  <si>
    <t>Search results should display matching products</t>
  </si>
  <si>
    <t>REQ_PRODUCT_003</t>
  </si>
  <si>
    <t>User should view product details page</t>
  </si>
  <si>
    <t>REQ_CART_001</t>
  </si>
  <si>
    <t>Cart</t>
  </si>
  <si>
    <t>User should add product to cart</t>
  </si>
  <si>
    <t>REQ_CART_002</t>
  </si>
  <si>
    <t>User should remove product from cart</t>
  </si>
  <si>
    <t>REQ_CART_003</t>
  </si>
  <si>
    <t>Cart should display correct product price</t>
  </si>
  <si>
    <t>Section</t>
  </si>
  <si>
    <t>Details</t>
  </si>
  <si>
    <t>Project Name</t>
  </si>
  <si>
    <t>Objective</t>
  </si>
  <si>
    <t>Validate functionality of the e-commerce application</t>
  </si>
  <si>
    <t>Scope</t>
  </si>
  <si>
    <t>Login, Product Search, Cart</t>
  </si>
  <si>
    <t>Testing Type</t>
  </si>
  <si>
    <t>Functional Testing, UI Testing, Negative Testing</t>
  </si>
  <si>
    <t>Test Environment</t>
  </si>
  <si>
    <t>Windows 10, Chrome Browser</t>
  </si>
  <si>
    <t>Entry Criteria</t>
  </si>
  <si>
    <t>Application build available</t>
  </si>
  <si>
    <t>Exit Criteria</t>
  </si>
  <si>
    <t>All test cases executed and critical bugs resolved</t>
  </si>
  <si>
    <t>Deliverables</t>
  </si>
  <si>
    <t>Test Plan, Test Scenarios, Test Cases, Bug Reports, RTM</t>
  </si>
  <si>
    <t>Scenario ID</t>
  </si>
  <si>
    <t>Test Scenario</t>
  </si>
  <si>
    <t>TS_LOGIN_001</t>
  </si>
  <si>
    <t>Verify login page loads successfully</t>
  </si>
  <si>
    <t>TS_LOGIN_002</t>
  </si>
  <si>
    <t>Verify login with valid credentials</t>
  </si>
  <si>
    <t>TS_LOGIN_003</t>
  </si>
  <si>
    <t>Verify login with invalid credentials</t>
  </si>
  <si>
    <t>TS_LOGIN_004</t>
  </si>
  <si>
    <t>Verify validation for empty fields</t>
  </si>
  <si>
    <t>TS_PRODUCT_001</t>
  </si>
  <si>
    <t>Verify product search functionality</t>
  </si>
  <si>
    <t>TS_PRODUCT_002</t>
  </si>
  <si>
    <t>Verify search results display correctly</t>
  </si>
  <si>
    <t>TS_PRODUCT_003</t>
  </si>
  <si>
    <t>Verify user can open product details page</t>
  </si>
  <si>
    <t>TS_CART_001</t>
  </si>
  <si>
    <t>Verify user can add product to cart</t>
  </si>
  <si>
    <t>TS_CART_002</t>
  </si>
  <si>
    <t>Verify user can remove product from cart</t>
  </si>
  <si>
    <t>TS_CART_003</t>
  </si>
  <si>
    <t>Verify cart displays correct product price</t>
  </si>
  <si>
    <t>Test Case ID</t>
  </si>
  <si>
    <t>Title</t>
  </si>
  <si>
    <t>Pre-Requisite</t>
  </si>
  <si>
    <t>Test Data</t>
  </si>
  <si>
    <t>Test Case Description</t>
  </si>
  <si>
    <t>Test Steps</t>
  </si>
  <si>
    <t>Expected Result</t>
  </si>
  <si>
    <t>Actual Result</t>
  </si>
  <si>
    <t>Regression</t>
  </si>
  <si>
    <t>TC_LOGIN_001</t>
  </si>
  <si>
    <t>Verify login page loads</t>
  </si>
  <si>
    <t>https://flipkart.com</t>
  </si>
  <si>
    <t>Login page should open</t>
  </si>
  <si>
    <t>Login page opened</t>
  </si>
  <si>
    <t>Pass</t>
  </si>
  <si>
    <t>TC_LOGIN_002</t>
  </si>
  <si>
    <t>Login with valid credentials</t>
  </si>
  <si>
    <t>User should login successfully</t>
  </si>
  <si>
    <t>TC_LOGIN_003</t>
  </si>
  <si>
    <t>Login with invalid password</t>
  </si>
  <si>
    <t>User on login page</t>
  </si>
  <si>
    <t>Error message displayed</t>
  </si>
  <si>
    <t>TC_PRODUCT_001</t>
  </si>
  <si>
    <t>Search product</t>
  </si>
  <si>
    <t>User logged in</t>
  </si>
  <si>
    <t>Relevant products displayed</t>
  </si>
  <si>
    <t>Products displayed</t>
  </si>
  <si>
    <t>TC_CART_001</t>
  </si>
  <si>
    <t>Add product to cart</t>
  </si>
  <si>
    <t>Product page open</t>
  </si>
  <si>
    <t>Product added</t>
  </si>
  <si>
    <t>Executed By</t>
  </si>
  <si>
    <t>Execution Date</t>
  </si>
  <si>
    <t>Status</t>
  </si>
  <si>
    <t>Comments</t>
  </si>
  <si>
    <t>Product added to cart</t>
  </si>
  <si>
    <t>Bug ID</t>
  </si>
  <si>
    <t>Bug Title</t>
  </si>
  <si>
    <t>Severity</t>
  </si>
  <si>
    <t>BUG_001</t>
  </si>
  <si>
    <t>Open</t>
  </si>
  <si>
    <t>Error message should appear</t>
  </si>
  <si>
    <t>User has application URL</t>
  </si>
  <si>
    <t>TC_LOGIN_004</t>
  </si>
  <si>
    <t>Login with empty fields</t>
  </si>
  <si>
    <t>Validation message displayed</t>
  </si>
  <si>
    <t>Validation shown</t>
  </si>
  <si>
    <t>TC_PRODUCT_002</t>
  </si>
  <si>
    <t>Verify search results</t>
  </si>
  <si>
    <t>Search results visible</t>
  </si>
  <si>
    <t>1 Observe search results</t>
  </si>
  <si>
    <t>Products related to search displayed</t>
  </si>
  <si>
    <t>TC_PRODUCT_003</t>
  </si>
  <si>
    <t>Open product details page</t>
  </si>
  <si>
    <t>Search results displayed</t>
  </si>
  <si>
    <t>1 Click product from results</t>
  </si>
  <si>
    <t>Product details page opens</t>
  </si>
  <si>
    <t>Product page opened</t>
  </si>
  <si>
    <t>1 Click Add to Cart button</t>
  </si>
  <si>
    <t>TC_CART_002</t>
  </si>
  <si>
    <t>Remove product from cart</t>
  </si>
  <si>
    <t>Product already in cart</t>
  </si>
  <si>
    <t>Product removed from cart</t>
  </si>
  <si>
    <t>Product removed</t>
  </si>
  <si>
    <t>TC_CART_003</t>
  </si>
  <si>
    <t>Verify product price in cart</t>
  </si>
  <si>
    <t>Cart should display correct price</t>
  </si>
  <si>
    <t>Price correct</t>
  </si>
  <si>
    <t>1 Enter URL 
2 Press Enter</t>
  </si>
  <si>
    <t>1 Enter valid username
2 Enter password
3 Click login</t>
  </si>
  <si>
    <t>1 Enter username
2 Enter wrong password
3 Click login</t>
  </si>
  <si>
    <t>1 Leave username empty
2 Leave password empty
3 Click login</t>
  </si>
  <si>
    <t>1 Enter product name in search bar
2 Click search</t>
  </si>
  <si>
    <t>1 Open cart
2 Click remove</t>
  </si>
  <si>
    <t>1 Open cart
2 Verify price</t>
  </si>
  <si>
    <t xml:space="preserve"> </t>
  </si>
  <si>
    <t>TC_LOGIN_005</t>
  </si>
  <si>
    <t>TC_LOGIN_006</t>
  </si>
  <si>
    <t>Verify password field masking</t>
  </si>
  <si>
    <t>1 Enter password in password field</t>
  </si>
  <si>
    <t>TC_PRODUCT_004</t>
  </si>
  <si>
    <t>Search with special characters</t>
  </si>
  <si>
    <t>TC_PRODUCT_005</t>
  </si>
  <si>
    <t>Search with empty input</t>
  </si>
  <si>
    <t>TC_PRODUCT_006</t>
  </si>
  <si>
    <t>Verify product image loads</t>
  </si>
  <si>
    <t>Product image should load correctly</t>
  </si>
  <si>
    <t>TC_CART_004</t>
  </si>
  <si>
    <t>Add same product multiple times</t>
  </si>
  <si>
    <t>1 Click Add to Cart twice</t>
  </si>
  <si>
    <t>TC_CART_005</t>
  </si>
  <si>
    <t>Verify cart total calculation</t>
  </si>
  <si>
    <t>Multiple products added</t>
  </si>
  <si>
    <t>1 Add multiple products2 Open cart</t>
  </si>
  <si>
    <t>TC_CART_006</t>
  </si>
  <si>
    <t>Login with invalid email format</t>
  </si>
  <si>
    <t>Email validation message should appear</t>
  </si>
  <si>
    <t>Password should appear masked</t>
  </si>
  <si>
    <t>Password displayed as masked characters</t>
  </si>
  <si>
    <t>System should display "No results found"</t>
  </si>
  <si>
    <t>System shows "No results found"</t>
  </si>
  <si>
    <t>1 Click search without entering product</t>
  </si>
  <si>
    <t>System should show validation or product list</t>
  </si>
  <si>
    <t>System displays product list</t>
  </si>
  <si>
    <t>Product image displayed correctly</t>
  </si>
  <si>
    <t>Product quantity should increase</t>
  </si>
  <si>
    <t>Product quantity increased</t>
  </si>
  <si>
    <t>Total price should equal sum of items</t>
  </si>
  <si>
    <t>Cart total calculated correctly</t>
  </si>
  <si>
    <t>Product removed successfully</t>
  </si>
  <si>
    <t>Remove multiple product from cart</t>
  </si>
  <si>
    <t>Products already in cart</t>
  </si>
  <si>
    <t>1 Open product page
2 Observe product image</t>
  </si>
  <si>
    <t>1 Open cart
2 Click remove on multiple products</t>
  </si>
  <si>
    <t>Products removed from cart</t>
  </si>
  <si>
    <t>Products removed successfully</t>
  </si>
  <si>
    <t>1 Enter invalid email
2 Enter password
3 Click login</t>
  </si>
  <si>
    <t>1 Enter special characters in search bar
2 Click search</t>
  </si>
  <si>
    <t>Steps to Reproduce</t>
  </si>
  <si>
    <t>Reported By</t>
  </si>
  <si>
    <t>Reported Date</t>
  </si>
  <si>
    <t>Search allows empty input without validation</t>
  </si>
  <si>
    <t>System should show validation message like "Enter product name"</t>
  </si>
  <si>
    <t>System shows full product list without validation</t>
  </si>
  <si>
    <t>BUG_002</t>
  </si>
  <si>
    <t>Cart total calculation incorrect for multiple products</t>
  </si>
  <si>
    <t>Cart total should equal sum of product prices</t>
  </si>
  <si>
    <t>Cart total displays incorrect value</t>
  </si>
  <si>
    <t>SL.No</t>
  </si>
  <si>
    <t>1 Open homepage
2 Leave search bar empty
3 Click search</t>
  </si>
  <si>
    <t>1 Login to application
2 Add Laptop and Mouse to cart
3 Open cart page</t>
  </si>
  <si>
    <t>Login page loaded successfully</t>
  </si>
  <si>
    <t>User logged in successfully</t>
  </si>
  <si>
    <t>Proper error message displayed</t>
  </si>
  <si>
    <t>Email format validation working</t>
  </si>
  <si>
    <t>Password masking working correctly</t>
  </si>
  <si>
    <t>Product search working</t>
  </si>
  <si>
    <t>Search results displayed correctly</t>
  </si>
  <si>
    <t>Product details page opened</t>
  </si>
  <si>
    <t>Special characters handled correctly</t>
  </si>
  <si>
    <t>Fail</t>
  </si>
  <si>
    <t>Empty search allowed without validation</t>
  </si>
  <si>
    <t>Product added to cart successfully</t>
  </si>
  <si>
    <t>Cart price displayed correctly</t>
  </si>
  <si>
    <t>Product quantity increased correctly</t>
  </si>
  <si>
    <t>Cart total calculation incorrect</t>
  </si>
  <si>
    <t>Execution Status</t>
  </si>
  <si>
    <t>Verify password masking</t>
  </si>
  <si>
    <t>Search product using search bar</t>
  </si>
  <si>
    <t>Verify search results display</t>
  </si>
  <si>
    <t>Verify product details page</t>
  </si>
  <si>
    <t>Search product using special characters</t>
  </si>
  <si>
    <t>Verify cart price</t>
  </si>
  <si>
    <t>QA Tester</t>
  </si>
  <si>
    <t>QA Analyst</t>
  </si>
  <si>
    <t>SL No</t>
  </si>
  <si>
    <t>Blocked</t>
  </si>
  <si>
    <t>Test Execution Summary</t>
  </si>
  <si>
    <t>Total Test Cases</t>
  </si>
  <si>
    <t>Passed</t>
  </si>
  <si>
    <t>Failed</t>
  </si>
  <si>
    <t>Pass%</t>
  </si>
  <si>
    <t>user@test.com / pass123</t>
  </si>
  <si>
    <t>N/A</t>
  </si>
  <si>
    <t>password123</t>
  </si>
  <si>
    <t>user@testcom / pass123</t>
  </si>
  <si>
    <t>user@test.com / pass12356</t>
  </si>
  <si>
    <t>E-commerce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</si>
</sst>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2" fillId="3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9" fontId="2" fillId="0" borderId="8" xfId="1" applyFont="1" applyBorder="1" applyAlignment="1">
      <alignment horizontal="center"/>
    </xf>
    <xf numFmtId="9" fontId="2" fillId="0" borderId="9" xfId="1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FDFF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B469"/>
        </patternFill>
      </fill>
    </dxf>
    <dxf>
      <fill>
        <patternFill>
          <bgColor rgb="FFFFFD9D"/>
        </patternFill>
      </fill>
    </dxf>
    <dxf>
      <fill>
        <patternFill>
          <bgColor theme="9" tint="0.59996337778862885"/>
        </patternFill>
      </fill>
    </dxf>
    <dxf>
      <fill>
        <patternFill>
          <bgColor rgb="FFFACA8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FDFFD"/>
      <color rgb="FFFACA8A"/>
      <color rgb="FFFFFD9D"/>
      <color rgb="FFFFB46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testcom%20/%20pass123" TargetMode="External"/><Relationship Id="rId2" Type="http://schemas.openxmlformats.org/officeDocument/2006/relationships/hyperlink" Target="mailto:user@test.com%20/%20pass123" TargetMode="External"/><Relationship Id="rId1" Type="http://schemas.openxmlformats.org/officeDocument/2006/relationships/hyperlink" Target="https://flipkart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er@test.com%20/%20pass1235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1168-C7A8-47E5-B402-A22039422F92}">
  <dimension ref="A1:E12"/>
  <sheetViews>
    <sheetView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2" max="2" width="34.88671875" customWidth="1"/>
    <col min="3" max="3" width="31.5546875" customWidth="1"/>
    <col min="4" max="4" width="64" customWidth="1"/>
    <col min="5" max="5" width="16.88671875" customWidth="1"/>
  </cols>
  <sheetData>
    <row r="1" spans="1:5" ht="31.8" customHeight="1" x14ac:dyDescent="0.3">
      <c r="A1" s="10" t="s">
        <v>195</v>
      </c>
      <c r="B1" s="19" t="s">
        <v>0</v>
      </c>
      <c r="C1" s="19" t="s">
        <v>1</v>
      </c>
      <c r="D1" s="20" t="s">
        <v>2</v>
      </c>
      <c r="E1" s="2"/>
    </row>
    <row r="2" spans="1:5" s="5" customFormat="1" ht="31.2" customHeight="1" x14ac:dyDescent="0.3">
      <c r="A2" s="21">
        <v>1</v>
      </c>
      <c r="B2" s="7" t="s">
        <v>4</v>
      </c>
      <c r="C2" s="7" t="s">
        <v>5</v>
      </c>
      <c r="D2" s="14" t="s">
        <v>6</v>
      </c>
      <c r="E2" s="1"/>
    </row>
    <row r="3" spans="1:5" s="5" customFormat="1" ht="31.2" customHeight="1" x14ac:dyDescent="0.3">
      <c r="A3" s="21">
        <v>2</v>
      </c>
      <c r="B3" s="7" t="s">
        <v>8</v>
      </c>
      <c r="C3" s="7" t="s">
        <v>5</v>
      </c>
      <c r="D3" s="14" t="s">
        <v>9</v>
      </c>
      <c r="E3" s="1"/>
    </row>
    <row r="4" spans="1:5" s="5" customFormat="1" ht="31.2" customHeight="1" x14ac:dyDescent="0.3">
      <c r="A4" s="21">
        <v>3</v>
      </c>
      <c r="B4" s="7" t="s">
        <v>10</v>
      </c>
      <c r="C4" s="7" t="s">
        <v>5</v>
      </c>
      <c r="D4" s="14" t="s">
        <v>11</v>
      </c>
      <c r="E4" s="1"/>
    </row>
    <row r="5" spans="1:5" s="5" customFormat="1" ht="31.2" customHeight="1" x14ac:dyDescent="0.3">
      <c r="A5" s="21">
        <v>4</v>
      </c>
      <c r="B5" s="7" t="s">
        <v>12</v>
      </c>
      <c r="C5" s="7" t="s">
        <v>5</v>
      </c>
      <c r="D5" s="14" t="s">
        <v>13</v>
      </c>
      <c r="E5" s="1"/>
    </row>
    <row r="6" spans="1:5" s="5" customFormat="1" ht="31.2" customHeight="1" x14ac:dyDescent="0.3">
      <c r="A6" s="21">
        <v>5</v>
      </c>
      <c r="B6" s="7" t="s">
        <v>14</v>
      </c>
      <c r="C6" s="7" t="s">
        <v>15</v>
      </c>
      <c r="D6" s="14" t="s">
        <v>16</v>
      </c>
      <c r="E6" s="1"/>
    </row>
    <row r="7" spans="1:5" s="5" customFormat="1" ht="31.2" customHeight="1" x14ac:dyDescent="0.3">
      <c r="A7" s="21">
        <v>6</v>
      </c>
      <c r="B7" s="7" t="s">
        <v>17</v>
      </c>
      <c r="C7" s="7" t="s">
        <v>15</v>
      </c>
      <c r="D7" s="14" t="s">
        <v>18</v>
      </c>
      <c r="E7" s="1"/>
    </row>
    <row r="8" spans="1:5" s="5" customFormat="1" ht="31.2" customHeight="1" x14ac:dyDescent="0.3">
      <c r="A8" s="21">
        <v>7</v>
      </c>
      <c r="B8" s="7" t="s">
        <v>19</v>
      </c>
      <c r="C8" s="7" t="s">
        <v>15</v>
      </c>
      <c r="D8" s="14" t="s">
        <v>20</v>
      </c>
      <c r="E8" s="1"/>
    </row>
    <row r="9" spans="1:5" s="5" customFormat="1" ht="31.2" customHeight="1" x14ac:dyDescent="0.3">
      <c r="A9" s="21">
        <v>8</v>
      </c>
      <c r="B9" s="7" t="s">
        <v>21</v>
      </c>
      <c r="C9" s="7" t="s">
        <v>22</v>
      </c>
      <c r="D9" s="14" t="s">
        <v>23</v>
      </c>
      <c r="E9" s="1"/>
    </row>
    <row r="10" spans="1:5" s="5" customFormat="1" ht="31.2" customHeight="1" x14ac:dyDescent="0.3">
      <c r="A10" s="21">
        <v>9</v>
      </c>
      <c r="B10" s="7" t="s">
        <v>24</v>
      </c>
      <c r="C10" s="7" t="s">
        <v>22</v>
      </c>
      <c r="D10" s="14" t="s">
        <v>25</v>
      </c>
      <c r="E10" s="1"/>
    </row>
    <row r="11" spans="1:5" s="5" customFormat="1" ht="31.2" customHeight="1" thickBot="1" x14ac:dyDescent="0.35">
      <c r="A11" s="22">
        <v>10</v>
      </c>
      <c r="B11" s="16" t="s">
        <v>26</v>
      </c>
      <c r="C11" s="16" t="s">
        <v>22</v>
      </c>
      <c r="D11" s="18" t="s">
        <v>27</v>
      </c>
      <c r="E11" s="1"/>
    </row>
    <row r="12" spans="1:5" s="5" customFormat="1" ht="31.2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B444-F416-49A2-9A2C-A56DCAB81C39}">
  <dimension ref="A1:C9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2" max="2" width="19.44140625" customWidth="1"/>
    <col min="3" max="3" width="55.109375" customWidth="1"/>
  </cols>
  <sheetData>
    <row r="1" spans="1:3" ht="26.4" customHeight="1" x14ac:dyDescent="0.3">
      <c r="A1" s="23" t="s">
        <v>195</v>
      </c>
      <c r="B1" s="19" t="s">
        <v>28</v>
      </c>
      <c r="C1" s="20" t="s">
        <v>29</v>
      </c>
    </row>
    <row r="2" spans="1:3" ht="32.4" customHeight="1" x14ac:dyDescent="0.3">
      <c r="A2" s="24">
        <v>1</v>
      </c>
      <c r="B2" s="7" t="s">
        <v>30</v>
      </c>
      <c r="C2" s="14" t="s">
        <v>234</v>
      </c>
    </row>
    <row r="3" spans="1:3" ht="40.799999999999997" customHeight="1" x14ac:dyDescent="0.3">
      <c r="A3" s="24">
        <v>2</v>
      </c>
      <c r="B3" s="7" t="s">
        <v>31</v>
      </c>
      <c r="C3" s="14" t="s">
        <v>32</v>
      </c>
    </row>
    <row r="4" spans="1:3" ht="39" customHeight="1" x14ac:dyDescent="0.3">
      <c r="A4" s="24">
        <v>3</v>
      </c>
      <c r="B4" s="7" t="s">
        <v>33</v>
      </c>
      <c r="C4" s="14" t="s">
        <v>34</v>
      </c>
    </row>
    <row r="5" spans="1:3" ht="42" customHeight="1" x14ac:dyDescent="0.3">
      <c r="A5" s="24">
        <v>4</v>
      </c>
      <c r="B5" s="7" t="s">
        <v>35</v>
      </c>
      <c r="C5" s="14" t="s">
        <v>36</v>
      </c>
    </row>
    <row r="6" spans="1:3" ht="28.8" customHeight="1" x14ac:dyDescent="0.3">
      <c r="A6" s="24">
        <v>5</v>
      </c>
      <c r="B6" s="7" t="s">
        <v>37</v>
      </c>
      <c r="C6" s="14" t="s">
        <v>38</v>
      </c>
    </row>
    <row r="7" spans="1:3" ht="29.4" customHeight="1" x14ac:dyDescent="0.3">
      <c r="A7" s="24">
        <v>6</v>
      </c>
      <c r="B7" s="7" t="s">
        <v>39</v>
      </c>
      <c r="C7" s="14" t="s">
        <v>40</v>
      </c>
    </row>
    <row r="8" spans="1:3" ht="43.2" customHeight="1" x14ac:dyDescent="0.3">
      <c r="A8" s="24">
        <v>7</v>
      </c>
      <c r="B8" s="7" t="s">
        <v>41</v>
      </c>
      <c r="C8" s="14" t="s">
        <v>42</v>
      </c>
    </row>
    <row r="9" spans="1:3" ht="37.799999999999997" customHeight="1" thickBot="1" x14ac:dyDescent="0.35">
      <c r="A9" s="25">
        <v>8</v>
      </c>
      <c r="B9" s="16" t="s">
        <v>43</v>
      </c>
      <c r="C9" s="1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FCC3-0406-4179-B53B-3D0165507F8A}">
  <dimension ref="A1:F11"/>
  <sheetViews>
    <sheetView workbookViewId="0">
      <pane ySplit="1" topLeftCell="A2" activePane="bottomLeft" state="frozen"/>
      <selection pane="bottomLeft" activeCell="F7" sqref="F7"/>
    </sheetView>
  </sheetViews>
  <sheetFormatPr defaultRowHeight="33" customHeight="1" x14ac:dyDescent="0.3"/>
  <cols>
    <col min="1" max="1" width="8.88671875" style="4"/>
    <col min="2" max="3" width="23.21875" style="4" customWidth="1"/>
    <col min="4" max="4" width="18.21875" style="4" customWidth="1"/>
    <col min="5" max="5" width="38.33203125" style="4" customWidth="1"/>
    <col min="6" max="6" width="16.44140625" style="4" customWidth="1"/>
    <col min="7" max="16384" width="8.88671875" style="4"/>
  </cols>
  <sheetData>
    <row r="1" spans="1:6" ht="33" customHeight="1" x14ac:dyDescent="0.3">
      <c r="A1" s="23" t="s">
        <v>195</v>
      </c>
      <c r="B1" s="19" t="s">
        <v>45</v>
      </c>
      <c r="C1" s="19" t="s">
        <v>0</v>
      </c>
      <c r="D1" s="19" t="s">
        <v>1</v>
      </c>
      <c r="E1" s="20" t="s">
        <v>46</v>
      </c>
      <c r="F1" s="2"/>
    </row>
    <row r="2" spans="1:6" ht="33" customHeight="1" x14ac:dyDescent="0.3">
      <c r="A2" s="24">
        <v>1</v>
      </c>
      <c r="B2" s="7" t="s">
        <v>47</v>
      </c>
      <c r="C2" s="7" t="s">
        <v>4</v>
      </c>
      <c r="D2" s="7" t="s">
        <v>5</v>
      </c>
      <c r="E2" s="14" t="s">
        <v>48</v>
      </c>
      <c r="F2" s="1"/>
    </row>
    <row r="3" spans="1:6" ht="33" customHeight="1" x14ac:dyDescent="0.3">
      <c r="A3" s="24">
        <v>2</v>
      </c>
      <c r="B3" s="7" t="s">
        <v>49</v>
      </c>
      <c r="C3" s="7" t="s">
        <v>8</v>
      </c>
      <c r="D3" s="7" t="s">
        <v>5</v>
      </c>
      <c r="E3" s="14" t="s">
        <v>50</v>
      </c>
      <c r="F3" s="1"/>
    </row>
    <row r="4" spans="1:6" ht="33" customHeight="1" x14ac:dyDescent="0.3">
      <c r="A4" s="24">
        <v>3</v>
      </c>
      <c r="B4" s="7" t="s">
        <v>51</v>
      </c>
      <c r="C4" s="7" t="s">
        <v>10</v>
      </c>
      <c r="D4" s="7" t="s">
        <v>5</v>
      </c>
      <c r="E4" s="14" t="s">
        <v>52</v>
      </c>
      <c r="F4" s="1"/>
    </row>
    <row r="5" spans="1:6" ht="33" customHeight="1" x14ac:dyDescent="0.3">
      <c r="A5" s="24">
        <v>4</v>
      </c>
      <c r="B5" s="7" t="s">
        <v>53</v>
      </c>
      <c r="C5" s="7" t="s">
        <v>12</v>
      </c>
      <c r="D5" s="7" t="s">
        <v>5</v>
      </c>
      <c r="E5" s="14" t="s">
        <v>54</v>
      </c>
      <c r="F5" s="1"/>
    </row>
    <row r="6" spans="1:6" ht="33" customHeight="1" x14ac:dyDescent="0.3">
      <c r="A6" s="24">
        <v>5</v>
      </c>
      <c r="B6" s="7" t="s">
        <v>55</v>
      </c>
      <c r="C6" s="7" t="s">
        <v>14</v>
      </c>
      <c r="D6" s="7" t="s">
        <v>15</v>
      </c>
      <c r="E6" s="14" t="s">
        <v>56</v>
      </c>
      <c r="F6" s="1"/>
    </row>
    <row r="7" spans="1:6" ht="33" customHeight="1" x14ac:dyDescent="0.3">
      <c r="A7" s="24">
        <v>6</v>
      </c>
      <c r="B7" s="7" t="s">
        <v>57</v>
      </c>
      <c r="C7" s="7" t="s">
        <v>17</v>
      </c>
      <c r="D7" s="7" t="s">
        <v>15</v>
      </c>
      <c r="E7" s="14" t="s">
        <v>58</v>
      </c>
      <c r="F7" s="1"/>
    </row>
    <row r="8" spans="1:6" ht="33" customHeight="1" x14ac:dyDescent="0.3">
      <c r="A8" s="24">
        <v>7</v>
      </c>
      <c r="B8" s="7" t="s">
        <v>59</v>
      </c>
      <c r="C8" s="7" t="s">
        <v>19</v>
      </c>
      <c r="D8" s="7" t="s">
        <v>15</v>
      </c>
      <c r="E8" s="14" t="s">
        <v>60</v>
      </c>
      <c r="F8" s="1"/>
    </row>
    <row r="9" spans="1:6" ht="33" customHeight="1" x14ac:dyDescent="0.3">
      <c r="A9" s="24">
        <v>8</v>
      </c>
      <c r="B9" s="7" t="s">
        <v>61</v>
      </c>
      <c r="C9" s="7" t="s">
        <v>21</v>
      </c>
      <c r="D9" s="7" t="s">
        <v>22</v>
      </c>
      <c r="E9" s="14" t="s">
        <v>62</v>
      </c>
      <c r="F9" s="1"/>
    </row>
    <row r="10" spans="1:6" ht="33" customHeight="1" x14ac:dyDescent="0.3">
      <c r="A10" s="24">
        <v>9</v>
      </c>
      <c r="B10" s="7" t="s">
        <v>63</v>
      </c>
      <c r="C10" s="7" t="s">
        <v>24</v>
      </c>
      <c r="D10" s="7" t="s">
        <v>22</v>
      </c>
      <c r="E10" s="14" t="s">
        <v>64</v>
      </c>
      <c r="F10" s="1"/>
    </row>
    <row r="11" spans="1:6" ht="33" customHeight="1" thickBot="1" x14ac:dyDescent="0.35">
      <c r="A11" s="25">
        <v>10</v>
      </c>
      <c r="B11" s="16" t="s">
        <v>65</v>
      </c>
      <c r="C11" s="16" t="s">
        <v>26</v>
      </c>
      <c r="D11" s="16" t="s">
        <v>22</v>
      </c>
      <c r="E11" s="18" t="s">
        <v>66</v>
      </c>
      <c r="F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7AFB-5E96-42BA-A3A5-E4B4078AFEF1}">
  <dimension ref="A1:M31"/>
  <sheetViews>
    <sheetView tabSelected="1" topLeftCell="D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0.44140625" customWidth="1"/>
    <col min="2" max="2" width="18.109375" customWidth="1"/>
    <col min="3" max="3" width="20.21875" customWidth="1"/>
    <col min="4" max="4" width="23.6640625" customWidth="1"/>
    <col min="5" max="5" width="19.88671875" customWidth="1"/>
    <col min="6" max="6" width="24.77734375" customWidth="1"/>
    <col min="7" max="7" width="25.88671875" customWidth="1"/>
    <col min="8" max="8" width="33.88671875" customWidth="1"/>
    <col min="9" max="9" width="36.88671875" customWidth="1"/>
    <col min="10" max="10" width="35.33203125" customWidth="1"/>
    <col min="11" max="11" width="28.21875" customWidth="1"/>
    <col min="12" max="12" width="18.109375" customWidth="1"/>
    <col min="13" max="13" width="17.88671875" customWidth="1"/>
  </cols>
  <sheetData>
    <row r="1" spans="1:13" ht="36.6" customHeight="1" x14ac:dyDescent="0.3">
      <c r="A1" s="26" t="s">
        <v>222</v>
      </c>
      <c r="B1" s="11" t="s">
        <v>67</v>
      </c>
      <c r="C1" s="11" t="s">
        <v>45</v>
      </c>
      <c r="D1" s="11" t="s">
        <v>0</v>
      </c>
      <c r="E1" s="11" t="s">
        <v>1</v>
      </c>
      <c r="F1" s="11" t="s">
        <v>68</v>
      </c>
      <c r="G1" s="11" t="s">
        <v>69</v>
      </c>
      <c r="H1" s="11" t="s">
        <v>70</v>
      </c>
      <c r="I1" s="11" t="s">
        <v>72</v>
      </c>
      <c r="J1" s="11" t="s">
        <v>73</v>
      </c>
      <c r="K1" s="11" t="s">
        <v>74</v>
      </c>
      <c r="L1" s="11" t="s">
        <v>100</v>
      </c>
      <c r="M1" s="12" t="s">
        <v>75</v>
      </c>
    </row>
    <row r="2" spans="1:13" ht="46.8" customHeight="1" x14ac:dyDescent="0.3">
      <c r="A2" s="27">
        <v>1</v>
      </c>
      <c r="B2" s="7" t="s">
        <v>76</v>
      </c>
      <c r="C2" s="7" t="s">
        <v>47</v>
      </c>
      <c r="D2" s="7" t="s">
        <v>4</v>
      </c>
      <c r="E2" s="7" t="s">
        <v>5</v>
      </c>
      <c r="F2" s="7" t="s">
        <v>77</v>
      </c>
      <c r="G2" s="7" t="s">
        <v>109</v>
      </c>
      <c r="H2" s="8" t="s">
        <v>78</v>
      </c>
      <c r="I2" s="7" t="s">
        <v>135</v>
      </c>
      <c r="J2" s="7" t="s">
        <v>79</v>
      </c>
      <c r="K2" s="7" t="s">
        <v>80</v>
      </c>
      <c r="L2" s="7" t="s">
        <v>81</v>
      </c>
      <c r="M2" s="14" t="s">
        <v>142</v>
      </c>
    </row>
    <row r="3" spans="1:13" ht="55.2" customHeight="1" x14ac:dyDescent="0.3">
      <c r="A3" s="27">
        <v>2</v>
      </c>
      <c r="B3" s="7" t="s">
        <v>82</v>
      </c>
      <c r="C3" s="7" t="s">
        <v>49</v>
      </c>
      <c r="D3" s="7" t="s">
        <v>8</v>
      </c>
      <c r="E3" s="7" t="s">
        <v>5</v>
      </c>
      <c r="F3" s="7" t="s">
        <v>83</v>
      </c>
      <c r="G3" s="7" t="s">
        <v>87</v>
      </c>
      <c r="H3" s="8" t="s">
        <v>229</v>
      </c>
      <c r="I3" s="7" t="s">
        <v>136</v>
      </c>
      <c r="J3" s="7" t="s">
        <v>84</v>
      </c>
      <c r="K3" s="7" t="s">
        <v>91</v>
      </c>
      <c r="L3" s="7" t="s">
        <v>81</v>
      </c>
      <c r="M3" s="14"/>
    </row>
    <row r="4" spans="1:13" ht="55.2" customHeight="1" x14ac:dyDescent="0.3">
      <c r="A4" s="27">
        <v>3</v>
      </c>
      <c r="B4" s="7" t="s">
        <v>85</v>
      </c>
      <c r="C4" s="7" t="s">
        <v>49</v>
      </c>
      <c r="D4" s="7" t="s">
        <v>8</v>
      </c>
      <c r="E4" s="7" t="s">
        <v>5</v>
      </c>
      <c r="F4" s="7" t="s">
        <v>162</v>
      </c>
      <c r="G4" s="7" t="s">
        <v>87</v>
      </c>
      <c r="H4" s="8" t="s">
        <v>232</v>
      </c>
      <c r="I4" s="7" t="s">
        <v>183</v>
      </c>
      <c r="J4" s="7" t="s">
        <v>163</v>
      </c>
      <c r="K4" s="7" t="s">
        <v>112</v>
      </c>
      <c r="L4" s="7" t="s">
        <v>81</v>
      </c>
      <c r="M4" s="14"/>
    </row>
    <row r="5" spans="1:13" ht="56.4" customHeight="1" x14ac:dyDescent="0.3">
      <c r="A5" s="27">
        <v>4</v>
      </c>
      <c r="B5" s="7" t="s">
        <v>110</v>
      </c>
      <c r="C5" s="7" t="s">
        <v>51</v>
      </c>
      <c r="D5" s="7" t="s">
        <v>10</v>
      </c>
      <c r="E5" s="7" t="s">
        <v>5</v>
      </c>
      <c r="F5" s="7" t="s">
        <v>86</v>
      </c>
      <c r="G5" s="7" t="s">
        <v>87</v>
      </c>
      <c r="H5" s="8" t="s">
        <v>233</v>
      </c>
      <c r="I5" s="7" t="s">
        <v>137</v>
      </c>
      <c r="J5" s="7" t="s">
        <v>108</v>
      </c>
      <c r="K5" s="7" t="s">
        <v>88</v>
      </c>
      <c r="L5" s="7" t="s">
        <v>81</v>
      </c>
      <c r="M5" s="14"/>
    </row>
    <row r="6" spans="1:13" ht="51.6" customHeight="1" x14ac:dyDescent="0.3">
      <c r="A6" s="27">
        <v>5</v>
      </c>
      <c r="B6" s="7" t="s">
        <v>143</v>
      </c>
      <c r="C6" s="7" t="s">
        <v>53</v>
      </c>
      <c r="D6" s="7" t="s">
        <v>12</v>
      </c>
      <c r="E6" s="7" t="s">
        <v>5</v>
      </c>
      <c r="F6" s="7" t="s">
        <v>111</v>
      </c>
      <c r="G6" s="7" t="s">
        <v>87</v>
      </c>
      <c r="H6" s="7" t="s">
        <v>230</v>
      </c>
      <c r="I6" s="7" t="s">
        <v>138</v>
      </c>
      <c r="J6" s="7" t="s">
        <v>112</v>
      </c>
      <c r="K6" s="7" t="s">
        <v>113</v>
      </c>
      <c r="L6" s="7" t="s">
        <v>81</v>
      </c>
      <c r="M6" s="14"/>
    </row>
    <row r="7" spans="1:13" ht="51.6" customHeight="1" x14ac:dyDescent="0.3">
      <c r="A7" s="27">
        <v>6</v>
      </c>
      <c r="B7" s="7" t="s">
        <v>144</v>
      </c>
      <c r="C7" s="7" t="s">
        <v>53</v>
      </c>
      <c r="D7" s="7" t="s">
        <v>12</v>
      </c>
      <c r="E7" s="7" t="s">
        <v>5</v>
      </c>
      <c r="F7" s="7" t="s">
        <v>145</v>
      </c>
      <c r="G7" s="7" t="s">
        <v>87</v>
      </c>
      <c r="H7" s="7" t="s">
        <v>231</v>
      </c>
      <c r="I7" s="7" t="s">
        <v>146</v>
      </c>
      <c r="J7" s="7" t="s">
        <v>164</v>
      </c>
      <c r="K7" s="7" t="s">
        <v>165</v>
      </c>
      <c r="L7" s="7" t="s">
        <v>81</v>
      </c>
      <c r="M7" s="14"/>
    </row>
    <row r="8" spans="1:13" ht="44.4" customHeight="1" x14ac:dyDescent="0.3">
      <c r="A8" s="27">
        <v>7</v>
      </c>
      <c r="B8" s="7" t="s">
        <v>89</v>
      </c>
      <c r="C8" s="7" t="s">
        <v>55</v>
      </c>
      <c r="D8" s="7" t="s">
        <v>14</v>
      </c>
      <c r="E8" s="7" t="s">
        <v>15</v>
      </c>
      <c r="F8" s="7" t="s">
        <v>90</v>
      </c>
      <c r="G8" s="7" t="s">
        <v>91</v>
      </c>
      <c r="H8" s="7"/>
      <c r="I8" s="7" t="s">
        <v>139</v>
      </c>
      <c r="J8" s="7" t="s">
        <v>92</v>
      </c>
      <c r="K8" s="7" t="s">
        <v>93</v>
      </c>
      <c r="L8" s="7" t="s">
        <v>81</v>
      </c>
      <c r="M8" s="14"/>
    </row>
    <row r="9" spans="1:13" ht="44.4" customHeight="1" x14ac:dyDescent="0.3">
      <c r="A9" s="27">
        <v>8</v>
      </c>
      <c r="B9" s="7" t="s">
        <v>114</v>
      </c>
      <c r="C9" s="7" t="s">
        <v>55</v>
      </c>
      <c r="D9" s="7" t="s">
        <v>14</v>
      </c>
      <c r="E9" s="7" t="s">
        <v>15</v>
      </c>
      <c r="F9" s="7" t="s">
        <v>148</v>
      </c>
      <c r="G9" s="7" t="s">
        <v>91</v>
      </c>
      <c r="H9" s="7"/>
      <c r="I9" s="7" t="s">
        <v>184</v>
      </c>
      <c r="J9" s="7" t="s">
        <v>166</v>
      </c>
      <c r="K9" s="7" t="s">
        <v>167</v>
      </c>
      <c r="L9" s="7" t="s">
        <v>81</v>
      </c>
      <c r="M9" s="14"/>
    </row>
    <row r="10" spans="1:13" ht="44.4" customHeight="1" x14ac:dyDescent="0.3">
      <c r="A10" s="27">
        <v>9</v>
      </c>
      <c r="B10" s="7" t="s">
        <v>119</v>
      </c>
      <c r="C10" s="7" t="s">
        <v>55</v>
      </c>
      <c r="D10" s="7" t="s">
        <v>14</v>
      </c>
      <c r="E10" s="7" t="s">
        <v>15</v>
      </c>
      <c r="F10" s="7" t="s">
        <v>150</v>
      </c>
      <c r="G10" s="7" t="s">
        <v>91</v>
      </c>
      <c r="H10" s="7"/>
      <c r="I10" s="7" t="s">
        <v>168</v>
      </c>
      <c r="J10" s="7" t="s">
        <v>169</v>
      </c>
      <c r="K10" s="7" t="s">
        <v>170</v>
      </c>
      <c r="L10" s="7" t="s">
        <v>81</v>
      </c>
      <c r="M10" s="14"/>
    </row>
    <row r="11" spans="1:13" ht="43.8" customHeight="1" x14ac:dyDescent="0.3">
      <c r="A11" s="27">
        <v>10</v>
      </c>
      <c r="B11" s="7" t="s">
        <v>147</v>
      </c>
      <c r="C11" s="7" t="s">
        <v>57</v>
      </c>
      <c r="D11" s="7" t="s">
        <v>17</v>
      </c>
      <c r="E11" s="7" t="s">
        <v>15</v>
      </c>
      <c r="F11" s="7" t="s">
        <v>115</v>
      </c>
      <c r="G11" s="7" t="s">
        <v>116</v>
      </c>
      <c r="H11" s="7"/>
      <c r="I11" s="7" t="s">
        <v>117</v>
      </c>
      <c r="J11" s="7" t="s">
        <v>118</v>
      </c>
      <c r="K11" s="7" t="s">
        <v>93</v>
      </c>
      <c r="L11" s="7" t="s">
        <v>81</v>
      </c>
      <c r="M11" s="14"/>
    </row>
    <row r="12" spans="1:13" ht="43.8" customHeight="1" x14ac:dyDescent="0.3">
      <c r="A12" s="27">
        <v>11</v>
      </c>
      <c r="B12" s="7" t="s">
        <v>149</v>
      </c>
      <c r="C12" s="7" t="s">
        <v>59</v>
      </c>
      <c r="D12" s="7" t="s">
        <v>19</v>
      </c>
      <c r="E12" s="7" t="s">
        <v>15</v>
      </c>
      <c r="F12" s="7" t="s">
        <v>120</v>
      </c>
      <c r="G12" s="7" t="s">
        <v>121</v>
      </c>
      <c r="H12" s="7"/>
      <c r="I12" s="7" t="s">
        <v>122</v>
      </c>
      <c r="J12" s="7" t="s">
        <v>123</v>
      </c>
      <c r="K12" s="7" t="s">
        <v>124</v>
      </c>
      <c r="L12" s="7" t="s">
        <v>81</v>
      </c>
      <c r="M12" s="14"/>
    </row>
    <row r="13" spans="1:13" ht="43.8" customHeight="1" x14ac:dyDescent="0.3">
      <c r="A13" s="27">
        <v>12</v>
      </c>
      <c r="B13" s="7" t="s">
        <v>151</v>
      </c>
      <c r="C13" s="7" t="s">
        <v>59</v>
      </c>
      <c r="D13" s="7" t="s">
        <v>19</v>
      </c>
      <c r="E13" s="7" t="s">
        <v>15</v>
      </c>
      <c r="F13" s="7" t="s">
        <v>152</v>
      </c>
      <c r="G13" s="7" t="s">
        <v>96</v>
      </c>
      <c r="H13" s="7"/>
      <c r="I13" s="7" t="s">
        <v>179</v>
      </c>
      <c r="J13" s="7" t="s">
        <v>153</v>
      </c>
      <c r="K13" s="7" t="s">
        <v>171</v>
      </c>
      <c r="L13" s="7" t="s">
        <v>81</v>
      </c>
      <c r="M13" s="14"/>
    </row>
    <row r="14" spans="1:13" ht="43.8" customHeight="1" x14ac:dyDescent="0.3">
      <c r="A14" s="27">
        <v>13</v>
      </c>
      <c r="B14" s="7" t="s">
        <v>94</v>
      </c>
      <c r="C14" s="7" t="s">
        <v>61</v>
      </c>
      <c r="D14" s="7" t="s">
        <v>21</v>
      </c>
      <c r="E14" s="7" t="s">
        <v>22</v>
      </c>
      <c r="F14" s="7" t="s">
        <v>95</v>
      </c>
      <c r="G14" s="7" t="s">
        <v>96</v>
      </c>
      <c r="H14" s="7"/>
      <c r="I14" s="7" t="s">
        <v>125</v>
      </c>
      <c r="J14" s="7" t="s">
        <v>102</v>
      </c>
      <c r="K14" s="7" t="s">
        <v>97</v>
      </c>
      <c r="L14" s="7" t="s">
        <v>81</v>
      </c>
      <c r="M14" s="14"/>
    </row>
    <row r="15" spans="1:13" ht="43.8" customHeight="1" x14ac:dyDescent="0.3">
      <c r="A15" s="27">
        <v>14</v>
      </c>
      <c r="B15" s="7" t="s">
        <v>126</v>
      </c>
      <c r="C15" s="7" t="s">
        <v>61</v>
      </c>
      <c r="D15" s="7" t="s">
        <v>21</v>
      </c>
      <c r="E15" s="7" t="s">
        <v>22</v>
      </c>
      <c r="F15" s="7" t="s">
        <v>155</v>
      </c>
      <c r="G15" s="7" t="s">
        <v>96</v>
      </c>
      <c r="H15" s="7"/>
      <c r="I15" s="7" t="s">
        <v>156</v>
      </c>
      <c r="J15" s="7" t="s">
        <v>172</v>
      </c>
      <c r="K15" s="7" t="s">
        <v>173</v>
      </c>
      <c r="L15" s="7" t="s">
        <v>81</v>
      </c>
      <c r="M15" s="14"/>
    </row>
    <row r="16" spans="1:13" ht="40.799999999999997" customHeight="1" x14ac:dyDescent="0.3">
      <c r="A16" s="27">
        <v>15</v>
      </c>
      <c r="B16" s="7" t="s">
        <v>131</v>
      </c>
      <c r="C16" s="7" t="s">
        <v>63</v>
      </c>
      <c r="D16" s="7" t="s">
        <v>24</v>
      </c>
      <c r="E16" s="7" t="s">
        <v>22</v>
      </c>
      <c r="F16" s="7" t="s">
        <v>127</v>
      </c>
      <c r="G16" s="7" t="s">
        <v>128</v>
      </c>
      <c r="H16" s="7"/>
      <c r="I16" s="7" t="s">
        <v>140</v>
      </c>
      <c r="J16" s="7" t="s">
        <v>129</v>
      </c>
      <c r="K16" s="7" t="s">
        <v>130</v>
      </c>
      <c r="L16" s="7" t="s">
        <v>81</v>
      </c>
      <c r="M16" s="28"/>
    </row>
    <row r="17" spans="1:13" ht="39.6" customHeight="1" x14ac:dyDescent="0.3">
      <c r="A17" s="27">
        <v>16</v>
      </c>
      <c r="B17" s="7" t="s">
        <v>154</v>
      </c>
      <c r="C17" s="7" t="s">
        <v>63</v>
      </c>
      <c r="D17" s="7" t="s">
        <v>24</v>
      </c>
      <c r="E17" s="7" t="s">
        <v>22</v>
      </c>
      <c r="F17" s="7" t="s">
        <v>177</v>
      </c>
      <c r="G17" s="7" t="s">
        <v>178</v>
      </c>
      <c r="H17" s="7"/>
      <c r="I17" s="7" t="s">
        <v>180</v>
      </c>
      <c r="J17" s="7" t="s">
        <v>181</v>
      </c>
      <c r="K17" s="7" t="s">
        <v>182</v>
      </c>
      <c r="L17" s="7" t="s">
        <v>81</v>
      </c>
      <c r="M17" s="14"/>
    </row>
    <row r="18" spans="1:13" ht="46.8" customHeight="1" x14ac:dyDescent="0.3">
      <c r="A18" s="27">
        <v>17</v>
      </c>
      <c r="B18" s="7" t="s">
        <v>157</v>
      </c>
      <c r="C18" s="7" t="s">
        <v>65</v>
      </c>
      <c r="D18" s="7" t="s">
        <v>26</v>
      </c>
      <c r="E18" s="7" t="s">
        <v>22</v>
      </c>
      <c r="F18" s="7" t="s">
        <v>132</v>
      </c>
      <c r="G18" s="7" t="s">
        <v>102</v>
      </c>
      <c r="H18" s="7"/>
      <c r="I18" s="7" t="s">
        <v>141</v>
      </c>
      <c r="J18" s="7" t="s">
        <v>133</v>
      </c>
      <c r="K18" s="7" t="s">
        <v>134</v>
      </c>
      <c r="L18" s="7" t="s">
        <v>81</v>
      </c>
      <c r="M18" s="14"/>
    </row>
    <row r="19" spans="1:13" ht="45" customHeight="1" thickBot="1" x14ac:dyDescent="0.35">
      <c r="A19" s="29">
        <v>18</v>
      </c>
      <c r="B19" s="16" t="s">
        <v>161</v>
      </c>
      <c r="C19" s="16" t="s">
        <v>65</v>
      </c>
      <c r="D19" s="16" t="s">
        <v>26</v>
      </c>
      <c r="E19" s="16" t="s">
        <v>22</v>
      </c>
      <c r="F19" s="16" t="s">
        <v>158</v>
      </c>
      <c r="G19" s="16" t="s">
        <v>159</v>
      </c>
      <c r="H19" s="16"/>
      <c r="I19" s="16" t="s">
        <v>160</v>
      </c>
      <c r="J19" s="16" t="s">
        <v>174</v>
      </c>
      <c r="K19" s="16" t="s">
        <v>175</v>
      </c>
      <c r="L19" s="16" t="s">
        <v>81</v>
      </c>
      <c r="M19" s="18"/>
    </row>
    <row r="20" spans="1:13" x14ac:dyDescent="0.3">
      <c r="M20" s="1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autoFilter ref="L1:L31" xr:uid="{A55B7AFB-5E96-42BA-A3A5-E4B4078AFEF1}"/>
  <dataConsolidate/>
  <conditionalFormatting sqref="L1:L1048576">
    <cfRule type="containsText" dxfId="20" priority="1" operator="containsText" text="Fail">
      <formula>NOT(ISERROR(SEARCH("Fail",L1)))</formula>
    </cfRule>
    <cfRule type="containsText" dxfId="19" priority="2" operator="containsText" text="Pass">
      <formula>NOT(ISERROR(SEARCH("Pass",L1)))</formula>
    </cfRule>
  </conditionalFormatting>
  <dataValidations count="1">
    <dataValidation type="list" allowBlank="1" showInputMessage="1" showErrorMessage="1" sqref="L2:L1048576" xr:uid="{DA9A8BA8-717F-4299-B716-D27B101A9263}">
      <formula1>"Pass,Fail,Blocked"</formula1>
    </dataValidation>
  </dataValidations>
  <hyperlinks>
    <hyperlink ref="H2" r:id="rId1" display="https://flipkart.com/" xr:uid="{CBE23C7C-5560-42F4-A10E-3F7B9353C302}"/>
    <hyperlink ref="H3" r:id="rId2" xr:uid="{1D5EB10D-1E4A-4505-A5E3-D7D4D585A555}"/>
    <hyperlink ref="H4" r:id="rId3" xr:uid="{BE58042E-6691-46B4-B219-66C951A42AB5}"/>
    <hyperlink ref="H5" r:id="rId4" xr:uid="{6EB8478A-3ACF-4EC9-91C0-5F765D0E8CBD}"/>
  </hyperlinks>
  <pageMargins left="0.7" right="0.7" top="0.75" bottom="0.75" header="0.3" footer="0.3"/>
  <pageSetup paperSize="272" orientation="portrait" horizontalDpi="203" verticalDpi="203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7875-07EC-400F-9282-6091315B7B99}">
  <dimension ref="A1:G28"/>
  <sheetViews>
    <sheetView workbookViewId="0">
      <pane ySplit="8" topLeftCell="A9" activePane="bottomLeft" state="frozen"/>
      <selection pane="bottomLeft" activeCell="E2" sqref="E2:F2"/>
    </sheetView>
  </sheetViews>
  <sheetFormatPr defaultRowHeight="14.4" x14ac:dyDescent="0.3"/>
  <cols>
    <col min="1" max="1" width="8.88671875" style="4"/>
    <col min="2" max="2" width="24.33203125" style="4" customWidth="1"/>
    <col min="3" max="3" width="16.33203125" style="4" customWidth="1"/>
    <col min="4" max="4" width="15.77734375" style="4" customWidth="1"/>
    <col min="5" max="5" width="17.5546875" style="4" customWidth="1"/>
    <col min="6" max="6" width="19.109375" style="4" customWidth="1"/>
    <col min="7" max="7" width="55.5546875" style="4" customWidth="1"/>
    <col min="8" max="16384" width="8.88671875" style="4"/>
  </cols>
  <sheetData>
    <row r="1" spans="1:7" ht="19.8" customHeight="1" thickBot="1" x14ac:dyDescent="0.35">
      <c r="A1"/>
      <c r="B1"/>
      <c r="C1" s="36" t="s">
        <v>224</v>
      </c>
      <c r="D1" s="37"/>
      <c r="E1" s="37"/>
      <c r="F1" s="38"/>
    </row>
    <row r="2" spans="1:7" x14ac:dyDescent="0.3">
      <c r="A2"/>
      <c r="B2"/>
      <c r="C2" s="39" t="s">
        <v>225</v>
      </c>
      <c r="D2" s="40"/>
      <c r="E2" s="44">
        <f>COUNTA(F9:F100)</f>
        <v>18</v>
      </c>
      <c r="F2" s="45"/>
    </row>
    <row r="3" spans="1:7" x14ac:dyDescent="0.3">
      <c r="A3"/>
      <c r="B3"/>
      <c r="C3" s="41" t="s">
        <v>226</v>
      </c>
      <c r="D3" s="42"/>
      <c r="E3" s="46">
        <f>COUNTIF(F9:F100,"pass")</f>
        <v>16</v>
      </c>
      <c r="F3" s="47"/>
    </row>
    <row r="4" spans="1:7" x14ac:dyDescent="0.3">
      <c r="A4"/>
      <c r="B4"/>
      <c r="C4" s="41" t="s">
        <v>227</v>
      </c>
      <c r="D4" s="42"/>
      <c r="E4" s="46">
        <f>COUNTIF(F9:F100,"fail")</f>
        <v>2</v>
      </c>
      <c r="F4" s="47"/>
    </row>
    <row r="5" spans="1:7" x14ac:dyDescent="0.3">
      <c r="A5"/>
      <c r="B5"/>
      <c r="C5" s="41" t="s">
        <v>223</v>
      </c>
      <c r="D5" s="42"/>
      <c r="E5" s="46">
        <f>COUNTIF(F8:F100,"Blocked")</f>
        <v>0</v>
      </c>
      <c r="F5" s="47"/>
    </row>
    <row r="6" spans="1:7" ht="15" thickBot="1" x14ac:dyDescent="0.35">
      <c r="A6"/>
      <c r="B6"/>
      <c r="C6" s="50" t="s">
        <v>228</v>
      </c>
      <c r="D6" s="51"/>
      <c r="E6" s="48">
        <f>E3/E2</f>
        <v>0.88888888888888884</v>
      </c>
      <c r="F6" s="49"/>
    </row>
    <row r="7" spans="1:7" s="43" customFormat="1" ht="15" thickBot="1" x14ac:dyDescent="0.35"/>
    <row r="8" spans="1:7" ht="36" customHeight="1" x14ac:dyDescent="0.3">
      <c r="A8" s="10" t="s">
        <v>195</v>
      </c>
      <c r="B8" s="11" t="s">
        <v>67</v>
      </c>
      <c r="C8" s="11" t="s">
        <v>1</v>
      </c>
      <c r="D8" s="11" t="s">
        <v>98</v>
      </c>
      <c r="E8" s="11" t="s">
        <v>99</v>
      </c>
      <c r="F8" s="11" t="s">
        <v>100</v>
      </c>
      <c r="G8" s="12" t="s">
        <v>101</v>
      </c>
    </row>
    <row r="9" spans="1:7" ht="33" customHeight="1" x14ac:dyDescent="0.3">
      <c r="A9" s="13">
        <v>1</v>
      </c>
      <c r="B9" s="7" t="s">
        <v>76</v>
      </c>
      <c r="C9" s="7" t="s">
        <v>5</v>
      </c>
      <c r="D9" s="7" t="s">
        <v>220</v>
      </c>
      <c r="E9" s="9">
        <v>46088</v>
      </c>
      <c r="F9" s="7" t="s">
        <v>81</v>
      </c>
      <c r="G9" s="14" t="s">
        <v>198</v>
      </c>
    </row>
    <row r="10" spans="1:7" ht="33" customHeight="1" x14ac:dyDescent="0.3">
      <c r="A10" s="13">
        <v>2</v>
      </c>
      <c r="B10" s="7" t="s">
        <v>82</v>
      </c>
      <c r="C10" s="7" t="s">
        <v>5</v>
      </c>
      <c r="D10" s="7" t="s">
        <v>220</v>
      </c>
      <c r="E10" s="9">
        <v>46088</v>
      </c>
      <c r="F10" s="7" t="s">
        <v>81</v>
      </c>
      <c r="G10" s="14" t="s">
        <v>199</v>
      </c>
    </row>
    <row r="11" spans="1:7" ht="33" customHeight="1" x14ac:dyDescent="0.3">
      <c r="A11" s="13">
        <v>3</v>
      </c>
      <c r="B11" s="7" t="s">
        <v>85</v>
      </c>
      <c r="C11" s="7" t="s">
        <v>5</v>
      </c>
      <c r="D11" s="7" t="s">
        <v>220</v>
      </c>
      <c r="E11" s="9">
        <v>46088</v>
      </c>
      <c r="F11" s="7" t="s">
        <v>81</v>
      </c>
      <c r="G11" s="14" t="s">
        <v>200</v>
      </c>
    </row>
    <row r="12" spans="1:7" ht="33" customHeight="1" x14ac:dyDescent="0.3">
      <c r="A12" s="13">
        <v>4</v>
      </c>
      <c r="B12" s="7" t="s">
        <v>110</v>
      </c>
      <c r="C12" s="7" t="s">
        <v>5</v>
      </c>
      <c r="D12" s="7" t="s">
        <v>220</v>
      </c>
      <c r="E12" s="9">
        <v>46088</v>
      </c>
      <c r="F12" s="7" t="s">
        <v>81</v>
      </c>
      <c r="G12" s="14" t="s">
        <v>112</v>
      </c>
    </row>
    <row r="13" spans="1:7" ht="33" customHeight="1" x14ac:dyDescent="0.3">
      <c r="A13" s="13">
        <v>5</v>
      </c>
      <c r="B13" s="7" t="s">
        <v>143</v>
      </c>
      <c r="C13" s="7" t="s">
        <v>5</v>
      </c>
      <c r="D13" s="7" t="s">
        <v>220</v>
      </c>
      <c r="E13" s="9">
        <v>46088</v>
      </c>
      <c r="F13" s="7" t="s">
        <v>81</v>
      </c>
      <c r="G13" s="14" t="s">
        <v>201</v>
      </c>
    </row>
    <row r="14" spans="1:7" ht="34.200000000000003" customHeight="1" x14ac:dyDescent="0.3">
      <c r="A14" s="13">
        <v>6</v>
      </c>
      <c r="B14" s="7" t="s">
        <v>144</v>
      </c>
      <c r="C14" s="7" t="s">
        <v>5</v>
      </c>
      <c r="D14" s="7" t="s">
        <v>220</v>
      </c>
      <c r="E14" s="9">
        <v>46088</v>
      </c>
      <c r="F14" s="7" t="s">
        <v>81</v>
      </c>
      <c r="G14" s="14" t="s">
        <v>202</v>
      </c>
    </row>
    <row r="15" spans="1:7" ht="33" customHeight="1" x14ac:dyDescent="0.3">
      <c r="A15" s="13">
        <v>7</v>
      </c>
      <c r="B15" s="7" t="s">
        <v>89</v>
      </c>
      <c r="C15" s="7" t="s">
        <v>15</v>
      </c>
      <c r="D15" s="7" t="s">
        <v>220</v>
      </c>
      <c r="E15" s="9">
        <v>46088</v>
      </c>
      <c r="F15" s="7" t="s">
        <v>81</v>
      </c>
      <c r="G15" s="14" t="s">
        <v>203</v>
      </c>
    </row>
    <row r="16" spans="1:7" ht="32.4" customHeight="1" x14ac:dyDescent="0.3">
      <c r="A16" s="13">
        <v>8</v>
      </c>
      <c r="B16" s="7" t="s">
        <v>114</v>
      </c>
      <c r="C16" s="7" t="s">
        <v>15</v>
      </c>
      <c r="D16" s="7" t="s">
        <v>220</v>
      </c>
      <c r="E16" s="9">
        <v>46088</v>
      </c>
      <c r="F16" s="7" t="s">
        <v>81</v>
      </c>
      <c r="G16" s="14" t="s">
        <v>204</v>
      </c>
    </row>
    <row r="17" spans="1:7" ht="31.8" customHeight="1" x14ac:dyDescent="0.3">
      <c r="A17" s="13">
        <v>9</v>
      </c>
      <c r="B17" s="7" t="s">
        <v>119</v>
      </c>
      <c r="C17" s="7" t="s">
        <v>15</v>
      </c>
      <c r="D17" s="7" t="s">
        <v>220</v>
      </c>
      <c r="E17" s="9">
        <v>46088</v>
      </c>
      <c r="F17" s="7" t="s">
        <v>81</v>
      </c>
      <c r="G17" s="14" t="s">
        <v>205</v>
      </c>
    </row>
    <row r="18" spans="1:7" ht="33" customHeight="1" x14ac:dyDescent="0.3">
      <c r="A18" s="13">
        <v>10</v>
      </c>
      <c r="B18" s="7" t="s">
        <v>147</v>
      </c>
      <c r="C18" s="7" t="s">
        <v>15</v>
      </c>
      <c r="D18" s="7" t="s">
        <v>220</v>
      </c>
      <c r="E18" s="9">
        <v>46088</v>
      </c>
      <c r="F18" s="7" t="s">
        <v>81</v>
      </c>
      <c r="G18" s="14" t="s">
        <v>206</v>
      </c>
    </row>
    <row r="19" spans="1:7" ht="33.6" customHeight="1" x14ac:dyDescent="0.3">
      <c r="A19" s="13">
        <v>11</v>
      </c>
      <c r="B19" s="7" t="s">
        <v>149</v>
      </c>
      <c r="C19" s="7" t="s">
        <v>15</v>
      </c>
      <c r="D19" s="7" t="s">
        <v>220</v>
      </c>
      <c r="E19" s="9">
        <v>46088</v>
      </c>
      <c r="F19" s="7" t="s">
        <v>207</v>
      </c>
      <c r="G19" s="14" t="s">
        <v>208</v>
      </c>
    </row>
    <row r="20" spans="1:7" ht="33" customHeight="1" x14ac:dyDescent="0.3">
      <c r="A20" s="13">
        <v>12</v>
      </c>
      <c r="B20" s="7" t="s">
        <v>151</v>
      </c>
      <c r="C20" s="7" t="s">
        <v>15</v>
      </c>
      <c r="D20" s="7" t="s">
        <v>220</v>
      </c>
      <c r="E20" s="9">
        <v>46088</v>
      </c>
      <c r="F20" s="7" t="s">
        <v>81</v>
      </c>
      <c r="G20" s="14" t="s">
        <v>171</v>
      </c>
    </row>
    <row r="21" spans="1:7" ht="33" customHeight="1" x14ac:dyDescent="0.3">
      <c r="A21" s="13">
        <v>13</v>
      </c>
      <c r="B21" s="7" t="s">
        <v>94</v>
      </c>
      <c r="C21" s="7" t="s">
        <v>22</v>
      </c>
      <c r="D21" s="7" t="s">
        <v>220</v>
      </c>
      <c r="E21" s="9">
        <v>46088</v>
      </c>
      <c r="F21" s="7" t="s">
        <v>81</v>
      </c>
      <c r="G21" s="14" t="s">
        <v>209</v>
      </c>
    </row>
    <row r="22" spans="1:7" ht="33" customHeight="1" x14ac:dyDescent="0.3">
      <c r="A22" s="13">
        <v>14</v>
      </c>
      <c r="B22" s="7" t="s">
        <v>126</v>
      </c>
      <c r="C22" s="7" t="s">
        <v>22</v>
      </c>
      <c r="D22" s="7" t="s">
        <v>220</v>
      </c>
      <c r="E22" s="9">
        <v>46088</v>
      </c>
      <c r="F22" s="7" t="s">
        <v>81</v>
      </c>
      <c r="G22" s="14" t="s">
        <v>129</v>
      </c>
    </row>
    <row r="23" spans="1:7" ht="33.6" customHeight="1" x14ac:dyDescent="0.3">
      <c r="A23" s="13">
        <v>15</v>
      </c>
      <c r="B23" s="7" t="s">
        <v>131</v>
      </c>
      <c r="C23" s="7" t="s">
        <v>22</v>
      </c>
      <c r="D23" s="7" t="s">
        <v>220</v>
      </c>
      <c r="E23" s="9">
        <v>46088</v>
      </c>
      <c r="F23" s="7" t="s">
        <v>81</v>
      </c>
      <c r="G23" s="14" t="s">
        <v>210</v>
      </c>
    </row>
    <row r="24" spans="1:7" ht="31.8" customHeight="1" x14ac:dyDescent="0.3">
      <c r="A24" s="13">
        <v>16</v>
      </c>
      <c r="B24" s="7" t="s">
        <v>154</v>
      </c>
      <c r="C24" s="7" t="s">
        <v>22</v>
      </c>
      <c r="D24" s="7" t="s">
        <v>220</v>
      </c>
      <c r="E24" s="9">
        <v>46088</v>
      </c>
      <c r="F24" s="7" t="s">
        <v>81</v>
      </c>
      <c r="G24" s="14" t="s">
        <v>211</v>
      </c>
    </row>
    <row r="25" spans="1:7" ht="33" customHeight="1" x14ac:dyDescent="0.3">
      <c r="A25" s="13">
        <v>17</v>
      </c>
      <c r="B25" s="7" t="s">
        <v>157</v>
      </c>
      <c r="C25" s="7" t="s">
        <v>22</v>
      </c>
      <c r="D25" s="7" t="s">
        <v>220</v>
      </c>
      <c r="E25" s="9">
        <v>46088</v>
      </c>
      <c r="F25" s="7" t="s">
        <v>207</v>
      </c>
      <c r="G25" s="14" t="s">
        <v>212</v>
      </c>
    </row>
    <row r="26" spans="1:7" ht="33" customHeight="1" thickBot="1" x14ac:dyDescent="0.35">
      <c r="A26" s="15">
        <v>18</v>
      </c>
      <c r="B26" s="16" t="s">
        <v>161</v>
      </c>
      <c r="C26" s="16" t="s">
        <v>22</v>
      </c>
      <c r="D26" s="16" t="s">
        <v>220</v>
      </c>
      <c r="E26" s="17">
        <v>46088</v>
      </c>
      <c r="F26" s="16" t="s">
        <v>81</v>
      </c>
      <c r="G26" s="18" t="s">
        <v>176</v>
      </c>
    </row>
    <row r="27" spans="1:7" ht="33" customHeight="1" x14ac:dyDescent="0.3">
      <c r="B27" s="1"/>
      <c r="C27" s="1"/>
      <c r="D27" s="1"/>
      <c r="E27" s="6"/>
      <c r="F27" s="1"/>
      <c r="G27" s="1"/>
    </row>
    <row r="28" spans="1:7" ht="33" customHeight="1" x14ac:dyDescent="0.3">
      <c r="B28" s="1"/>
      <c r="C28" s="1"/>
      <c r="D28" s="1"/>
      <c r="E28" s="6"/>
      <c r="F28" s="1"/>
      <c r="G28" s="1"/>
    </row>
  </sheetData>
  <autoFilter ref="F8:F28" xr:uid="{E7D27875-07EC-400F-9282-6091315B7B99}"/>
  <mergeCells count="12">
    <mergeCell ref="A7:XFD7"/>
    <mergeCell ref="E2:F2"/>
    <mergeCell ref="E3:F3"/>
    <mergeCell ref="E4:F4"/>
    <mergeCell ref="E5:F5"/>
    <mergeCell ref="E6:F6"/>
    <mergeCell ref="C6:D6"/>
    <mergeCell ref="C1:F1"/>
    <mergeCell ref="C2:D2"/>
    <mergeCell ref="C3:D3"/>
    <mergeCell ref="C4:D4"/>
    <mergeCell ref="C5:D5"/>
  </mergeCells>
  <conditionalFormatting sqref="F8:F1048576">
    <cfRule type="containsText" dxfId="18" priority="1" operator="containsText" text="Fail">
      <formula>NOT(ISERROR(SEARCH("Fail",F8)))</formula>
    </cfRule>
    <cfRule type="containsText" dxfId="17" priority="2" operator="containsText" text="Pass">
      <formula>NOT(ISERROR(SEARCH("Pass",F8)))</formula>
    </cfRule>
  </conditionalFormatting>
  <dataValidations count="1">
    <dataValidation type="list" allowBlank="1" showInputMessage="1" showErrorMessage="1" sqref="F8:F1048576" xr:uid="{782022C6-F9B0-4563-B340-FAE387968719}">
      <formula1>"Pass,Fail,Blocked"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083D-115D-48FE-8E5F-40E25A4FF413}">
  <dimension ref="A1:M3"/>
  <sheetViews>
    <sheetView topLeftCell="B1" workbookViewId="0">
      <pane ySplit="1" topLeftCell="A2" activePane="bottomLeft" state="frozen"/>
      <selection pane="bottomLeft" activeCell="H5" sqref="H5"/>
    </sheetView>
  </sheetViews>
  <sheetFormatPr defaultRowHeight="45" customHeight="1" x14ac:dyDescent="0.3"/>
  <cols>
    <col min="1" max="1" width="8.88671875" style="4"/>
    <col min="2" max="2" width="14.5546875" style="4" customWidth="1"/>
    <col min="3" max="3" width="22" style="4" customWidth="1"/>
    <col min="4" max="4" width="15.109375" style="4" customWidth="1"/>
    <col min="5" max="5" width="25.44140625" style="4" customWidth="1"/>
    <col min="6" max="6" width="17.88671875" style="4" customWidth="1"/>
    <col min="7" max="7" width="16.77734375" style="4" customWidth="1"/>
    <col min="8" max="8" width="19.88671875" style="4" customWidth="1"/>
    <col min="9" max="9" width="36.77734375" style="4" customWidth="1"/>
    <col min="10" max="10" width="35.109375" style="4" customWidth="1"/>
    <col min="11" max="11" width="35" style="4" customWidth="1"/>
    <col min="12" max="12" width="18.21875" style="4" customWidth="1"/>
    <col min="13" max="13" width="17.44140625" style="4" customWidth="1"/>
    <col min="14" max="16384" width="8.88671875" style="4"/>
  </cols>
  <sheetData>
    <row r="1" spans="1:13" ht="45" customHeight="1" x14ac:dyDescent="0.3">
      <c r="A1" s="10" t="s">
        <v>195</v>
      </c>
      <c r="B1" s="11" t="s">
        <v>103</v>
      </c>
      <c r="C1" s="11" t="s">
        <v>67</v>
      </c>
      <c r="D1" s="11" t="s">
        <v>1</v>
      </c>
      <c r="E1" s="11" t="s">
        <v>104</v>
      </c>
      <c r="F1" s="11" t="s">
        <v>105</v>
      </c>
      <c r="G1" s="11" t="s">
        <v>3</v>
      </c>
      <c r="H1" s="11" t="s">
        <v>100</v>
      </c>
      <c r="I1" s="11" t="s">
        <v>185</v>
      </c>
      <c r="J1" s="11" t="s">
        <v>73</v>
      </c>
      <c r="K1" s="11" t="s">
        <v>74</v>
      </c>
      <c r="L1" s="11" t="s">
        <v>186</v>
      </c>
      <c r="M1" s="12" t="s">
        <v>187</v>
      </c>
    </row>
    <row r="2" spans="1:13" ht="45" customHeight="1" x14ac:dyDescent="0.3">
      <c r="A2" s="30">
        <v>1</v>
      </c>
      <c r="B2" s="7" t="s">
        <v>106</v>
      </c>
      <c r="C2" s="7" t="s">
        <v>149</v>
      </c>
      <c r="D2" s="7" t="s">
        <v>15</v>
      </c>
      <c r="E2" s="7" t="s">
        <v>188</v>
      </c>
      <c r="F2" s="7" t="s">
        <v>7</v>
      </c>
      <c r="G2" s="7" t="s">
        <v>7</v>
      </c>
      <c r="H2" s="7" t="s">
        <v>107</v>
      </c>
      <c r="I2" s="7" t="s">
        <v>196</v>
      </c>
      <c r="J2" s="7" t="s">
        <v>189</v>
      </c>
      <c r="K2" s="7" t="s">
        <v>190</v>
      </c>
      <c r="L2" s="7" t="s">
        <v>221</v>
      </c>
      <c r="M2" s="31">
        <v>46088</v>
      </c>
    </row>
    <row r="3" spans="1:13" ht="45" customHeight="1" thickBot="1" x14ac:dyDescent="0.35">
      <c r="A3" s="32">
        <v>2</v>
      </c>
      <c r="B3" s="16" t="s">
        <v>191</v>
      </c>
      <c r="C3" s="16" t="s">
        <v>157</v>
      </c>
      <c r="D3" s="16" t="s">
        <v>22</v>
      </c>
      <c r="E3" s="16" t="s">
        <v>192</v>
      </c>
      <c r="F3" s="16" t="s">
        <v>7</v>
      </c>
      <c r="G3" s="16" t="s">
        <v>7</v>
      </c>
      <c r="H3" s="16" t="s">
        <v>107</v>
      </c>
      <c r="I3" s="16" t="s">
        <v>197</v>
      </c>
      <c r="J3" s="16" t="s">
        <v>193</v>
      </c>
      <c r="K3" s="16" t="s">
        <v>194</v>
      </c>
      <c r="L3" s="16" t="s">
        <v>221</v>
      </c>
      <c r="M3" s="33">
        <v>46088</v>
      </c>
    </row>
  </sheetData>
  <autoFilter ref="F1:H3" xr:uid="{DD98083D-115D-48FE-8E5F-40E25A4FF413}"/>
  <conditionalFormatting sqref="F1:F1048576">
    <cfRule type="containsText" dxfId="16" priority="12" operator="containsText" text="Low">
      <formula>NOT(ISERROR(SEARCH("Low",F1)))</formula>
    </cfRule>
    <cfRule type="containsText" dxfId="15" priority="13" operator="containsText" text="Medium">
      <formula>NOT(ISERROR(SEARCH("Medium",F1)))</formula>
    </cfRule>
    <cfRule type="containsText" dxfId="14" priority="14" operator="containsText" text="High">
      <formula>NOT(ISERROR(SEARCH("High",F1)))</formula>
    </cfRule>
    <cfRule type="containsText" dxfId="13" priority="15" operator="containsText" text="Critical">
      <formula>NOT(ISERROR(SEARCH("Critical",F1)))</formula>
    </cfRule>
  </conditionalFormatting>
  <conditionalFormatting sqref="G1:G1048576">
    <cfRule type="containsText" dxfId="12" priority="5" operator="containsText" text="High">
      <formula>NOT(ISERROR(SEARCH("High",G1)))</formula>
    </cfRule>
    <cfRule type="containsText" dxfId="11" priority="6" operator="containsText" text="Low">
      <formula>NOT(ISERROR(SEARCH("Low",G1)))</formula>
    </cfRule>
    <cfRule type="containsText" dxfId="10" priority="7" operator="containsText" text="Medium">
      <formula>NOT(ISERROR(SEARCH("Medium",G1)))</formula>
    </cfRule>
    <cfRule type="containsText" dxfId="9" priority="8" operator="containsText" text="High">
      <formula>NOT(ISERROR(SEARCH("High",G1)))</formula>
    </cfRule>
    <cfRule type="containsText" dxfId="8" priority="9" operator="containsText" text="Medium">
      <formula>NOT(ISERROR(SEARCH("Medium",G1)))</formula>
    </cfRule>
    <cfRule type="containsText" dxfId="7" priority="10" operator="containsText" text="High">
      <formula>NOT(ISERROR(SEARCH("High",G1)))</formula>
    </cfRule>
    <cfRule type="containsText" dxfId="6" priority="11" operator="containsText" text="High">
      <formula>NOT(ISERROR(SEARCH("High",G1)))</formula>
    </cfRule>
  </conditionalFormatting>
  <conditionalFormatting sqref="H1:H1048576">
    <cfRule type="containsText" dxfId="5" priority="1" operator="containsText" text="Closed">
      <formula>NOT(ISERROR(SEARCH("Closed",H1)))</formula>
    </cfRule>
    <cfRule type="containsText" dxfId="4" priority="2" operator="containsText" text="Fixed">
      <formula>NOT(ISERROR(SEARCH("Fixed",H1)))</formula>
    </cfRule>
    <cfRule type="containsText" dxfId="3" priority="3" operator="containsText" text="In Progress">
      <formula>NOT(ISERROR(SEARCH("In Progress",H1)))</formula>
    </cfRule>
    <cfRule type="containsText" dxfId="2" priority="4" operator="containsText" text="Open">
      <formula>NOT(ISERROR(SEARCH("Open",H1)))</formula>
    </cfRule>
  </conditionalFormatting>
  <dataValidations count="3">
    <dataValidation type="list" allowBlank="1" showInputMessage="1" showErrorMessage="1" sqref="F1:F1048576" xr:uid="{4DE13036-6CCC-40EE-A498-0661F5083B56}">
      <formula1>"Critical,High,Medium,Low"</formula1>
    </dataValidation>
    <dataValidation type="list" allowBlank="1" showInputMessage="1" showErrorMessage="1" sqref="G1:G1048576" xr:uid="{8E80A18A-42C0-48A1-8794-3A56D73DE51D}">
      <formula1>"High,Medium,Low"</formula1>
    </dataValidation>
    <dataValidation type="list" allowBlank="1" showInputMessage="1" showErrorMessage="1" sqref="H1:H1048576" xr:uid="{48525D15-DC07-41D0-9929-253D1168145C}">
      <formula1>"Open,In Progress,Fixed,Closed"</formula1>
    </dataValidation>
  </dataValidations>
  <pageMargins left="0.7" right="0.7" top="0.75" bottom="0.75" header="0.3" footer="0.3"/>
  <pageSetup paperSize="272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864F-5EAD-495E-B10F-9B043E2CC2E6}">
  <dimension ref="A1:F23"/>
  <sheetViews>
    <sheetView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8.88671875" style="4"/>
    <col min="2" max="6" width="28.77734375" style="4" customWidth="1"/>
    <col min="7" max="16384" width="8.88671875" style="4"/>
  </cols>
  <sheetData>
    <row r="1" spans="1:6" ht="33" customHeight="1" x14ac:dyDescent="0.3">
      <c r="A1" s="10" t="s">
        <v>195</v>
      </c>
      <c r="B1" s="11" t="s">
        <v>0</v>
      </c>
      <c r="C1" s="11" t="s">
        <v>45</v>
      </c>
      <c r="D1" s="11" t="s">
        <v>67</v>
      </c>
      <c r="E1" s="11" t="s">
        <v>71</v>
      </c>
      <c r="F1" s="12" t="s">
        <v>213</v>
      </c>
    </row>
    <row r="2" spans="1:6" ht="33" customHeight="1" x14ac:dyDescent="0.3">
      <c r="A2" s="34">
        <v>1</v>
      </c>
      <c r="B2" s="7" t="s">
        <v>4</v>
      </c>
      <c r="C2" s="7" t="s">
        <v>47</v>
      </c>
      <c r="D2" s="7" t="s">
        <v>76</v>
      </c>
      <c r="E2" s="7" t="s">
        <v>48</v>
      </c>
      <c r="F2" s="14" t="s">
        <v>81</v>
      </c>
    </row>
    <row r="3" spans="1:6" ht="33" customHeight="1" x14ac:dyDescent="0.3">
      <c r="A3" s="34">
        <v>2</v>
      </c>
      <c r="B3" s="7" t="s">
        <v>8</v>
      </c>
      <c r="C3" s="7" t="s">
        <v>49</v>
      </c>
      <c r="D3" s="7" t="s">
        <v>82</v>
      </c>
      <c r="E3" s="7" t="s">
        <v>83</v>
      </c>
      <c r="F3" s="14" t="s">
        <v>81</v>
      </c>
    </row>
    <row r="4" spans="1:6" ht="33" customHeight="1" x14ac:dyDescent="0.3">
      <c r="A4" s="34">
        <v>3</v>
      </c>
      <c r="B4" s="7" t="s">
        <v>8</v>
      </c>
      <c r="C4" s="7" t="s">
        <v>49</v>
      </c>
      <c r="D4" s="7" t="s">
        <v>143</v>
      </c>
      <c r="E4" s="7" t="s">
        <v>162</v>
      </c>
      <c r="F4" s="14" t="s">
        <v>81</v>
      </c>
    </row>
    <row r="5" spans="1:6" ht="33" customHeight="1" x14ac:dyDescent="0.3">
      <c r="A5" s="34">
        <v>4</v>
      </c>
      <c r="B5" s="7" t="s">
        <v>10</v>
      </c>
      <c r="C5" s="7" t="s">
        <v>51</v>
      </c>
      <c r="D5" s="7" t="s">
        <v>85</v>
      </c>
      <c r="E5" s="7" t="s">
        <v>86</v>
      </c>
      <c r="F5" s="14" t="s">
        <v>81</v>
      </c>
    </row>
    <row r="6" spans="1:6" ht="33" customHeight="1" x14ac:dyDescent="0.3">
      <c r="A6" s="34">
        <v>5</v>
      </c>
      <c r="B6" s="7" t="s">
        <v>12</v>
      </c>
      <c r="C6" s="7" t="s">
        <v>53</v>
      </c>
      <c r="D6" s="7" t="s">
        <v>110</v>
      </c>
      <c r="E6" s="7" t="s">
        <v>111</v>
      </c>
      <c r="F6" s="14" t="s">
        <v>81</v>
      </c>
    </row>
    <row r="7" spans="1:6" ht="33" customHeight="1" x14ac:dyDescent="0.3">
      <c r="A7" s="34">
        <v>6</v>
      </c>
      <c r="B7" s="7" t="s">
        <v>12</v>
      </c>
      <c r="C7" s="7" t="s">
        <v>53</v>
      </c>
      <c r="D7" s="7" t="s">
        <v>144</v>
      </c>
      <c r="E7" s="7" t="s">
        <v>214</v>
      </c>
      <c r="F7" s="14" t="s">
        <v>81</v>
      </c>
    </row>
    <row r="8" spans="1:6" ht="33" customHeight="1" x14ac:dyDescent="0.3">
      <c r="A8" s="34">
        <v>7</v>
      </c>
      <c r="B8" s="7" t="s">
        <v>14</v>
      </c>
      <c r="C8" s="7" t="s">
        <v>55</v>
      </c>
      <c r="D8" s="7" t="s">
        <v>89</v>
      </c>
      <c r="E8" s="7" t="s">
        <v>215</v>
      </c>
      <c r="F8" s="14" t="s">
        <v>81</v>
      </c>
    </row>
    <row r="9" spans="1:6" ht="33" customHeight="1" x14ac:dyDescent="0.3">
      <c r="A9" s="34">
        <v>8</v>
      </c>
      <c r="B9" s="7" t="s">
        <v>14</v>
      </c>
      <c r="C9" s="7" t="s">
        <v>55</v>
      </c>
      <c r="D9" s="7" t="s">
        <v>147</v>
      </c>
      <c r="E9" s="7" t="s">
        <v>218</v>
      </c>
      <c r="F9" s="14" t="s">
        <v>81</v>
      </c>
    </row>
    <row r="10" spans="1:6" ht="33" customHeight="1" x14ac:dyDescent="0.3">
      <c r="A10" s="34">
        <v>9</v>
      </c>
      <c r="B10" s="7" t="s">
        <v>14</v>
      </c>
      <c r="C10" s="7" t="s">
        <v>55</v>
      </c>
      <c r="D10" s="7" t="s">
        <v>149</v>
      </c>
      <c r="E10" s="7" t="s">
        <v>150</v>
      </c>
      <c r="F10" s="14" t="s">
        <v>207</v>
      </c>
    </row>
    <row r="11" spans="1:6" ht="33" customHeight="1" x14ac:dyDescent="0.3">
      <c r="A11" s="34">
        <v>10</v>
      </c>
      <c r="B11" s="7" t="s">
        <v>17</v>
      </c>
      <c r="C11" s="7" t="s">
        <v>57</v>
      </c>
      <c r="D11" s="7" t="s">
        <v>114</v>
      </c>
      <c r="E11" s="7" t="s">
        <v>216</v>
      </c>
      <c r="F11" s="14" t="s">
        <v>81</v>
      </c>
    </row>
    <row r="12" spans="1:6" ht="33" customHeight="1" x14ac:dyDescent="0.3">
      <c r="A12" s="34">
        <v>11</v>
      </c>
      <c r="B12" s="7" t="s">
        <v>19</v>
      </c>
      <c r="C12" s="7" t="s">
        <v>59</v>
      </c>
      <c r="D12" s="7" t="s">
        <v>119</v>
      </c>
      <c r="E12" s="7" t="s">
        <v>217</v>
      </c>
      <c r="F12" s="14" t="s">
        <v>81</v>
      </c>
    </row>
    <row r="13" spans="1:6" ht="33" customHeight="1" x14ac:dyDescent="0.3">
      <c r="A13" s="34">
        <v>12</v>
      </c>
      <c r="B13" s="7" t="s">
        <v>19</v>
      </c>
      <c r="C13" s="7" t="s">
        <v>59</v>
      </c>
      <c r="D13" s="7" t="s">
        <v>151</v>
      </c>
      <c r="E13" s="7" t="s">
        <v>152</v>
      </c>
      <c r="F13" s="14" t="s">
        <v>81</v>
      </c>
    </row>
    <row r="14" spans="1:6" ht="33" customHeight="1" x14ac:dyDescent="0.3">
      <c r="A14" s="34">
        <v>13</v>
      </c>
      <c r="B14" s="7" t="s">
        <v>21</v>
      </c>
      <c r="C14" s="7" t="s">
        <v>61</v>
      </c>
      <c r="D14" s="7" t="s">
        <v>94</v>
      </c>
      <c r="E14" s="7" t="s">
        <v>95</v>
      </c>
      <c r="F14" s="14" t="s">
        <v>81</v>
      </c>
    </row>
    <row r="15" spans="1:6" ht="33" customHeight="1" x14ac:dyDescent="0.3">
      <c r="A15" s="34">
        <v>14</v>
      </c>
      <c r="B15" s="7" t="s">
        <v>21</v>
      </c>
      <c r="C15" s="7" t="s">
        <v>61</v>
      </c>
      <c r="D15" s="7" t="s">
        <v>154</v>
      </c>
      <c r="E15" s="7" t="s">
        <v>155</v>
      </c>
      <c r="F15" s="14" t="s">
        <v>81</v>
      </c>
    </row>
    <row r="16" spans="1:6" ht="33" customHeight="1" x14ac:dyDescent="0.3">
      <c r="A16" s="34">
        <v>15</v>
      </c>
      <c r="B16" s="7" t="s">
        <v>24</v>
      </c>
      <c r="C16" s="7" t="s">
        <v>63</v>
      </c>
      <c r="D16" s="7" t="s">
        <v>126</v>
      </c>
      <c r="E16" s="7" t="s">
        <v>127</v>
      </c>
      <c r="F16" s="14" t="s">
        <v>81</v>
      </c>
    </row>
    <row r="17" spans="1:6" ht="33" customHeight="1" x14ac:dyDescent="0.3">
      <c r="A17" s="34">
        <v>16</v>
      </c>
      <c r="B17" s="7" t="s">
        <v>24</v>
      </c>
      <c r="C17" s="7" t="s">
        <v>63</v>
      </c>
      <c r="D17" s="7" t="s">
        <v>161</v>
      </c>
      <c r="E17" s="7" t="s">
        <v>127</v>
      </c>
      <c r="F17" s="14" t="s">
        <v>81</v>
      </c>
    </row>
    <row r="18" spans="1:6" ht="33" customHeight="1" x14ac:dyDescent="0.3">
      <c r="A18" s="34">
        <v>17</v>
      </c>
      <c r="B18" s="7" t="s">
        <v>26</v>
      </c>
      <c r="C18" s="7" t="s">
        <v>65</v>
      </c>
      <c r="D18" s="7" t="s">
        <v>131</v>
      </c>
      <c r="E18" s="7" t="s">
        <v>219</v>
      </c>
      <c r="F18" s="14" t="s">
        <v>81</v>
      </c>
    </row>
    <row r="19" spans="1:6" ht="33" customHeight="1" thickBot="1" x14ac:dyDescent="0.35">
      <c r="A19" s="35">
        <v>18</v>
      </c>
      <c r="B19" s="16" t="s">
        <v>26</v>
      </c>
      <c r="C19" s="16" t="s">
        <v>65</v>
      </c>
      <c r="D19" s="16" t="s">
        <v>157</v>
      </c>
      <c r="E19" s="16" t="s">
        <v>158</v>
      </c>
      <c r="F19" s="18" t="s">
        <v>207</v>
      </c>
    </row>
    <row r="20" spans="1:6" ht="33" customHeight="1" x14ac:dyDescent="0.3"/>
    <row r="21" spans="1:6" ht="33" customHeight="1" x14ac:dyDescent="0.3"/>
    <row r="22" spans="1:6" ht="33" customHeight="1" x14ac:dyDescent="0.3">
      <c r="B22" s="1"/>
      <c r="C22" s="1"/>
      <c r="D22" s="1"/>
      <c r="E22" s="1"/>
      <c r="F22" s="1"/>
    </row>
    <row r="23" spans="1:6" ht="33" customHeight="1" x14ac:dyDescent="0.3">
      <c r="B23" s="1"/>
      <c r="C23" s="1"/>
      <c r="D23" s="1"/>
      <c r="E23" s="1"/>
      <c r="F23" s="1"/>
    </row>
  </sheetData>
  <autoFilter ref="F1:F23" xr:uid="{B66E864F-5EAD-495E-B10F-9B043E2CC2E6}"/>
  <conditionalFormatting sqref="F1:F1048576">
    <cfRule type="containsText" dxfId="1" priority="1" operator="containsText" text="Fail">
      <formula>NOT(ISERROR(SEARCH("Fail",F1)))</formula>
    </cfRule>
    <cfRule type="containsText" dxfId="0" priority="2" operator="containsText" text="Pass">
      <formula>NOT(ISERROR(SEARCH("Pass",F1)))</formula>
    </cfRule>
  </conditionalFormatting>
  <dataValidations count="1">
    <dataValidation type="list" allowBlank="1" showInputMessage="1" showErrorMessage="1" sqref="F1:F1048576" xr:uid="{B129DB38-1597-4648-92CF-22C435C0B965}">
      <formula1>"Pass,Fail,Blocked"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Requirements</vt:lpstr>
      <vt:lpstr>Test_Plan</vt:lpstr>
      <vt:lpstr>Test_Scenarios</vt:lpstr>
      <vt:lpstr>Test_Cases</vt:lpstr>
      <vt:lpstr>Test_Execution</vt:lpstr>
      <vt:lpstr>Bug_Report_Log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Maria</dc:creator>
  <cp:lastModifiedBy>Linda Maria</cp:lastModifiedBy>
  <dcterms:created xsi:type="dcterms:W3CDTF">2026-03-10T12:56:12Z</dcterms:created>
  <dcterms:modified xsi:type="dcterms:W3CDTF">2026-03-12T13:01:32Z</dcterms:modified>
</cp:coreProperties>
</file>